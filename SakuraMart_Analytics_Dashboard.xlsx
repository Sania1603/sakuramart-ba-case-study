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🏪 Market Overview" sheetId="1" state="visible" r:id="rId1"/>
    <sheet xmlns:r="http://schemas.openxmlformats.org/officeDocument/2006/relationships" name="💰 Cost-Benefit Analysis" sheetId="2" state="visible" r:id="rId2"/>
    <sheet xmlns:r="http://schemas.openxmlformats.org/officeDocument/2006/relationships" name="📊 Customer Survey" sheetId="3" state="visible" r:id="rId3"/>
    <sheet xmlns:r="http://schemas.openxmlformats.org/officeDocument/2006/relationships" name="🎯 JIRA Backlog" sheetId="4" state="visible" r:id="rId4"/>
    <sheet xmlns:r="http://schemas.openxmlformats.org/officeDocument/2006/relationships" name="🎨 MoSCoW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B0000"/>
      <sz val="11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8B0000"/>
      <sz val="10"/>
    </font>
    <font>
      <name val="Calibri"/>
      <b val="1"/>
      <color rgb="008B0000"/>
      <sz val="12"/>
    </font>
    <font>
      <name val="Calibri"/>
      <b val="1"/>
      <color rgb="00FFFFFF"/>
      <sz val="16"/>
    </font>
    <font>
      <name val="Calibri"/>
      <i val="1"/>
      <color rgb="008B0000"/>
      <sz val="10"/>
    </font>
    <font>
      <name val="Calibri"/>
      <b val="1"/>
      <color rgb="001E8449"/>
      <sz val="12"/>
    </font>
    <font>
      <name val="Calibri"/>
      <b val="1"/>
      <color rgb="001A5276"/>
      <sz val="12"/>
    </font>
    <font>
      <name val="Calibri"/>
      <b val="1"/>
      <color rgb="001A5276"/>
      <sz val="10"/>
    </font>
    <font>
      <name val="Calibri"/>
      <b val="1"/>
      <color rgb="00FFFFFF"/>
      <sz val="15"/>
    </font>
    <font>
      <name val="Calibri"/>
      <b val="1"/>
      <color rgb="008B0000"/>
      <sz val="11"/>
    </font>
    <font>
      <name val="Calibri"/>
      <b val="1"/>
      <color rgb="001A1A2E"/>
      <sz val="10"/>
    </font>
    <font>
      <name val="Calibri"/>
      <color rgb="001A1A2E"/>
      <sz val="9"/>
    </font>
    <font>
      <name val="Calibri"/>
      <b val="1"/>
      <color rgb="001A5276"/>
      <sz val="9"/>
    </font>
    <font>
      <name val="Calibri"/>
      <b val="1"/>
      <color rgb="001E8449"/>
      <sz val="9"/>
    </font>
    <font>
      <name val="Calibri"/>
      <b val="1"/>
      <color rgb="00B7950B"/>
      <sz val="9"/>
    </font>
    <font>
      <name val="Calibri"/>
      <b val="1"/>
      <color rgb="00555555"/>
      <sz val="9"/>
    </font>
    <font>
      <name val="Calibri"/>
      <b val="1"/>
      <color rgb="001A5276"/>
      <sz val="14"/>
    </font>
    <font>
      <name val="Calibri"/>
      <b val="1"/>
      <color rgb="001A5276"/>
      <sz val="28"/>
    </font>
    <font>
      <name val="Calibri"/>
      <i val="1"/>
      <color rgb="001A1A2E"/>
      <sz val="11"/>
    </font>
    <font>
      <name val="Calibri"/>
      <b val="1"/>
      <color rgb="001E8449"/>
      <sz val="14"/>
    </font>
    <font>
      <name val="Calibri"/>
      <b val="1"/>
      <color rgb="001E8449"/>
      <sz val="28"/>
    </font>
    <font>
      <name val="Calibri"/>
      <b val="1"/>
      <color rgb="007D3C98"/>
      <sz val="14"/>
    </font>
    <font>
      <name val="Calibri"/>
      <b val="1"/>
      <color rgb="007D3C98"/>
      <sz val="28"/>
    </font>
    <font>
      <name val="Calibri"/>
      <b val="1"/>
      <color rgb="00555555"/>
      <sz val="14"/>
    </font>
    <font>
      <name val="Calibri"/>
      <b val="1"/>
      <color rgb="00555555"/>
      <sz val="28"/>
    </font>
  </fonts>
  <fills count="16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DF6EC"/>
        <bgColor rgb="00FDF6EC"/>
      </patternFill>
    </fill>
    <fill>
      <patternFill patternType="solid">
        <fgColor rgb="00FFFFFF"/>
        <bgColor rgb="00FFFFFF"/>
      </patternFill>
    </fill>
    <fill>
      <patternFill patternType="solid">
        <fgColor rgb="00FEF0F0"/>
        <bgColor rgb="00FEF0F0"/>
      </patternFill>
    </fill>
    <fill>
      <patternFill patternType="solid">
        <fgColor rgb="00FEF9E7"/>
        <bgColor rgb="00FEF9E7"/>
      </patternFill>
    </fill>
    <fill>
      <patternFill patternType="solid">
        <fgColor rgb="001A5276"/>
        <bgColor rgb="001A5276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7D3C98"/>
        <bgColor rgb="007D3C98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2F3F4"/>
        <bgColor rgb="00F2F3F4"/>
      </patternFill>
    </fill>
    <fill>
      <patternFill patternType="solid">
        <fgColor rgb="00F5EEF8"/>
        <bgColor rgb="00F5EEF8"/>
      </patternFill>
    </fill>
    <fill>
      <patternFill patternType="solid">
        <fgColor rgb="00EAECEE"/>
        <bgColor rgb="00EAECEE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0" borderId="0" pivotButton="0" quotePrefix="0" xfId="0"/>
    <xf numFmtId="165" fontId="4" fillId="5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1" fillId="11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/>
    </xf>
    <xf numFmtId="0" fontId="0" fillId="11" borderId="1" pivotButton="0" quotePrefix="0" xfId="0"/>
    <xf numFmtId="0" fontId="23" fillId="12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25" fillId="14" borderId="1" applyAlignment="1" pivotButton="0" quotePrefix="0" xfId="0">
      <alignment horizontal="center" vertical="center" wrapText="1"/>
    </xf>
    <xf numFmtId="0" fontId="26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27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Japan Mobile Payment Market (¥ Trillion)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'🏪 Market Overview'!B12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'🏪 Market Overview'!$A$13:$A$19</f>
            </numRef>
          </cat>
          <val>
            <numRef>
              <f>'🏪 Market Overview'!$B$13:$B$19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¥ Trillion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Payment Method Usage</a:t>
            </a:r>
          </a:p>
        </rich>
      </tx>
    </title>
    <plotArea>
      <pieChart>
        <varyColors val="1"/>
        <ser>
          <idx val="0"/>
          <order val="0"/>
          <tx>
            <strRef>
              <f>'📊 Customer Survey'!B20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Customer Survey'!$A$21:$A$26</f>
            </numRef>
          </cat>
          <val>
            <numRef>
              <f>'📊 Customer Survey'!$B$21:$B$26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Sprint Story Points — Planned vs Capacity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'🎨 MoSCoW Dashboard'!B19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'🎨 MoSCoW Dashboard'!$A$20:$A$26</f>
            </numRef>
          </cat>
          <val>
            <numRef>
              <f>'🎨 MoSCoW Dashboard'!$B$20:$B$26</f>
            </numRef>
          </val>
        </ser>
        <ser>
          <idx val="1"/>
          <order val="1"/>
          <tx>
            <strRef>
              <f>'🎨 MoSCoW Dashboard'!C19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'🎨 MoSCoW Dashboard'!$A$20:$A$26</f>
            </numRef>
          </cat>
          <val>
            <numRef>
              <f>'🎨 MoSCoW Dashboard'!$C$20:$C$26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20" customWidth="1" min="5" max="5"/>
    <col width="14" customWidth="1" min="6" max="6"/>
    <col width="28" customWidth="1" min="7" max="7"/>
  </cols>
  <sheetData>
    <row r="1" ht="36" customHeight="1">
      <c r="A1" s="1" t="inlineStr">
        <is>
          <t>🌸  SakuraMart — Japan Convenience Store Market Overview</t>
        </is>
      </c>
    </row>
    <row r="2" ht="22" customHeight="1">
      <c r="A2" s="2" t="inlineStr">
        <is>
          <t>Competitive Landscape &amp; Digital Adoption Analysis  |  Data as of Feb 2026</t>
        </is>
      </c>
    </row>
    <row r="4">
      <c r="A4" s="3" t="inlineStr">
        <is>
          <t>Competitor</t>
        </is>
      </c>
      <c r="B4" s="3" t="inlineStr">
        <is>
          <t>Stores (Japan)</t>
        </is>
      </c>
      <c r="C4" s="3" t="inlineStr">
        <is>
          <t>Annual Revenue (¥B)</t>
        </is>
      </c>
      <c r="D4" s="3" t="inlineStr">
        <is>
          <t>App Downloads (M)</t>
        </is>
      </c>
      <c r="E4" s="3" t="inlineStr">
        <is>
          <t>Loyalty Members (M)</t>
        </is>
      </c>
      <c r="F4" s="3" t="inlineStr">
        <is>
          <t>Digital Pay %</t>
        </is>
      </c>
      <c r="G4" s="3" t="inlineStr">
        <is>
          <t>SakuraMart Gap</t>
        </is>
      </c>
    </row>
    <row r="5">
      <c r="A5" s="4" t="inlineStr">
        <is>
          <t>7-Eleven Japan</t>
        </is>
      </c>
      <c r="B5" s="5" t="n">
        <v>21</v>
      </c>
      <c r="C5" s="5" t="n">
        <v>347</v>
      </c>
      <c r="D5" s="5" t="n">
        <v>4900</v>
      </c>
      <c r="E5" s="5" t="n">
        <v>52.3</v>
      </c>
      <c r="F5" s="5" t="n">
        <v>38.1</v>
      </c>
      <c r="G5" s="5" t="inlineStr">
        <is>
          <t>82%</t>
        </is>
      </c>
      <c r="H5" t="inlineStr">
        <is>
          <t>Leader — 18 months ahead</t>
        </is>
      </c>
    </row>
    <row r="6">
      <c r="A6" s="6" t="inlineStr">
        <is>
          <t>Lawson</t>
        </is>
      </c>
      <c r="B6" s="7" t="n">
        <v>14</v>
      </c>
      <c r="C6" s="7" t="n">
        <v>688</v>
      </c>
      <c r="D6" s="7" t="n">
        <v>2600</v>
      </c>
      <c r="E6" s="7" t="n">
        <v>28.7</v>
      </c>
      <c r="F6" s="7" t="n">
        <v>21.4</v>
      </c>
      <c r="G6" s="7" t="inlineStr">
        <is>
          <t>74%</t>
        </is>
      </c>
      <c r="H6" t="inlineStr">
        <is>
          <t>Strong digital — 12M ahead</t>
        </is>
      </c>
    </row>
    <row r="7">
      <c r="A7" s="4" t="inlineStr">
        <is>
          <t>FamilyMart</t>
        </is>
      </c>
      <c r="B7" s="5" t="n">
        <v>16</v>
      </c>
      <c r="C7" s="5" t="n">
        <v>911</v>
      </c>
      <c r="D7" s="5" t="n">
        <v>2200</v>
      </c>
      <c r="E7" s="5" t="n">
        <v>31.2</v>
      </c>
      <c r="F7" s="5" t="n">
        <v>19.8</v>
      </c>
      <c r="G7" s="5" t="inlineStr">
        <is>
          <t>71%</t>
        </is>
      </c>
      <c r="H7" t="inlineStr">
        <is>
          <t>Strong digital — 10M ahead</t>
        </is>
      </c>
    </row>
    <row r="8">
      <c r="A8" s="8" t="inlineStr">
        <is>
          <t>SakuraMart ⭐</t>
        </is>
      </c>
      <c r="B8" s="9" t="n">
        <v>1</v>
      </c>
      <c r="C8" s="9" t="n">
        <v>247</v>
      </c>
      <c r="D8" s="9" t="n">
        <v>98</v>
      </c>
      <c r="E8" s="9" t="n">
        <v>0</v>
      </c>
      <c r="F8" s="9" t="n">
        <v>0.042</v>
      </c>
      <c r="G8" s="9" t="inlineStr">
        <is>
          <t>12%</t>
        </is>
      </c>
      <c r="H8" t="inlineStr">
        <is>
          <t>CURRENT POSITION — DLP launch</t>
        </is>
      </c>
    </row>
    <row r="9">
      <c r="A9" s="4" t="inlineStr">
        <is>
          <t>MiniStop</t>
        </is>
      </c>
      <c r="B9" s="5" t="n">
        <v>2</v>
      </c>
      <c r="C9" s="5" t="n">
        <v>187</v>
      </c>
      <c r="D9" s="5" t="n">
        <v>320</v>
      </c>
      <c r="E9" s="5" t="n">
        <v>2.1</v>
      </c>
      <c r="F9" s="5" t="n">
        <v>1.4</v>
      </c>
      <c r="G9" s="5" t="inlineStr">
        <is>
          <t>38%</t>
        </is>
      </c>
      <c r="H9" t="inlineStr">
        <is>
          <t>Below SakuraMart target</t>
        </is>
      </c>
    </row>
    <row r="11">
      <c r="A11" s="10" t="inlineStr">
        <is>
          <t>📈  Japan Mobile Payment Market Growth (¥ Trillion)</t>
        </is>
      </c>
    </row>
    <row r="12">
      <c r="A12" s="11" t="inlineStr">
        <is>
          <t>Year</t>
        </is>
      </c>
      <c r="B12" s="11" t="inlineStr">
        <is>
          <t>Market Size (¥T)</t>
        </is>
      </c>
      <c r="C12" s="11" t="inlineStr">
        <is>
          <t>Mobile Users %</t>
        </is>
      </c>
    </row>
    <row r="13">
      <c r="A13" s="4" t="n">
        <v>2021</v>
      </c>
      <c r="B13" s="5" t="n">
        <v>42</v>
      </c>
      <c r="C13" s="12" t="n">
        <v>61</v>
      </c>
    </row>
    <row r="14">
      <c r="A14" s="6" t="n">
        <v>2022</v>
      </c>
      <c r="B14" s="7" t="n">
        <v>58</v>
      </c>
      <c r="C14" s="13" t="n">
        <v>68</v>
      </c>
    </row>
    <row r="15">
      <c r="A15" s="4" t="n">
        <v>2023</v>
      </c>
      <c r="B15" s="5" t="n">
        <v>71</v>
      </c>
      <c r="C15" s="12" t="n">
        <v>75</v>
      </c>
    </row>
    <row r="16">
      <c r="A16" s="6" t="n">
        <v>2024</v>
      </c>
      <c r="B16" s="7" t="n">
        <v>85</v>
      </c>
      <c r="C16" s="13" t="n">
        <v>81</v>
      </c>
    </row>
    <row r="17">
      <c r="A17" s="4" t="n">
        <v>2025</v>
      </c>
      <c r="B17" s="5" t="n">
        <v>98</v>
      </c>
      <c r="C17" s="12" t="n">
        <v>87</v>
      </c>
    </row>
    <row r="18">
      <c r="A18" s="6" t="n">
        <v>2026</v>
      </c>
      <c r="B18" s="7" t="n">
        <v>105</v>
      </c>
      <c r="C18" s="13" t="n">
        <v>91</v>
      </c>
    </row>
    <row r="19">
      <c r="A19" s="4" t="n">
        <v>2027</v>
      </c>
      <c r="B19" s="5" t="n">
        <v>112</v>
      </c>
      <c r="C19" s="12" t="n">
        <v>94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36" customHeight="1">
      <c r="A1" s="14" t="inlineStr">
        <is>
          <t>🌸  SakuraMart DLP — Cost-Benefit Analysis (¥ Millions)</t>
        </is>
      </c>
    </row>
    <row r="2">
      <c r="A2" s="15" t="inlineStr">
        <is>
          <t>Project: SMC-DLP-2026  |  3-Year Projection  |  All figures in ¥ Millions</t>
        </is>
      </c>
    </row>
    <row r="4">
      <c r="A4" s="10" t="inlineStr">
        <is>
          <t>📤  PROJECT COSTS</t>
        </is>
      </c>
    </row>
    <row r="5">
      <c r="A5" s="16" t="inlineStr">
        <is>
          <t>Cost Category</t>
        </is>
      </c>
      <c r="B5" s="16" t="inlineStr">
        <is>
          <t>Description</t>
        </is>
      </c>
      <c r="C5" s="16" t="inlineStr">
        <is>
          <t>FY2026 (¥M)</t>
        </is>
      </c>
      <c r="D5" s="16" t="inlineStr">
        <is>
          <t>FY2027 (¥M)</t>
        </is>
      </c>
      <c r="E5" s="16" t="inlineStr">
        <is>
          <t>FY2028 (¥M)</t>
        </is>
      </c>
      <c r="F5" s="16" t="inlineStr">
        <is>
          <t>3-Year Total (¥M)</t>
        </is>
      </c>
    </row>
    <row r="6">
      <c r="A6" s="4" t="inlineStr">
        <is>
          <t>App Development</t>
        </is>
      </c>
      <c r="B6" s="5" t="inlineStr">
        <is>
          <t>iOS + Android build, backend, API integration</t>
        </is>
      </c>
      <c r="C6" s="17" t="n">
        <v>180</v>
      </c>
      <c r="D6" s="17" t="n">
        <v>40</v>
      </c>
      <c r="E6" s="17" t="n">
        <v>25</v>
      </c>
      <c r="F6" s="17">
        <f>C6+D6+E6</f>
        <v/>
      </c>
    </row>
    <row r="7">
      <c r="A7" s="6" t="inlineStr">
        <is>
          <t>Cloud Infrastructure</t>
        </is>
      </c>
      <c r="B7" s="7" t="inlineStr">
        <is>
          <t>AWS Tokyo region — compute, storage, CDN</t>
        </is>
      </c>
      <c r="C7" s="18" t="n">
        <v>35</v>
      </c>
      <c r="D7" s="18" t="n">
        <v>42</v>
      </c>
      <c r="E7" s="18" t="n">
        <v>48</v>
      </c>
      <c r="F7" s="18">
        <f>C7+D7+E7</f>
        <v/>
      </c>
    </row>
    <row r="8">
      <c r="A8" s="4" t="inlineStr">
        <is>
          <t>QR Payment Integration</t>
        </is>
      </c>
      <c r="B8" s="5" t="inlineStr">
        <is>
          <t>PayPay, LINE Pay API licensing + integration</t>
        </is>
      </c>
      <c r="C8" s="17" t="n">
        <v>28</v>
      </c>
      <c r="D8" s="17" t="n">
        <v>12</v>
      </c>
      <c r="E8" s="17" t="n">
        <v>12</v>
      </c>
      <c r="F8" s="17">
        <f>C8+D8+E8</f>
        <v/>
      </c>
    </row>
    <row r="9">
      <c r="A9" s="6" t="inlineStr">
        <is>
          <t>Staff Training</t>
        </is>
      </c>
      <c r="B9" s="7" t="inlineStr">
        <is>
          <t>Training for 1,247 store managers &amp; cashiers</t>
        </is>
      </c>
      <c r="C9" s="18" t="n">
        <v>22</v>
      </c>
      <c r="D9" s="18" t="n">
        <v>8</v>
      </c>
      <c r="E9" s="18" t="n">
        <v>5</v>
      </c>
      <c r="F9" s="18">
        <f>C9+D9+E9</f>
        <v/>
      </c>
    </row>
    <row r="10">
      <c r="A10" s="4" t="inlineStr">
        <is>
          <t>Marketing &amp; Launch</t>
        </is>
      </c>
      <c r="B10" s="5" t="inlineStr">
        <is>
          <t>Pre-launch campaign, onboarding bonus (500 pts)</t>
        </is>
      </c>
      <c r="C10" s="17" t="n">
        <v>65</v>
      </c>
      <c r="D10" s="17" t="n">
        <v>30</v>
      </c>
      <c r="E10" s="17" t="n">
        <v>20</v>
      </c>
      <c r="F10" s="17">
        <f>C10+D10+E10</f>
        <v/>
      </c>
    </row>
    <row r="11">
      <c r="A11" s="6" t="inlineStr">
        <is>
          <t>Security &amp; Compliance</t>
        </is>
      </c>
      <c r="B11" s="7" t="inlineStr">
        <is>
          <t>Pen testing, APPI audit, ISO 27001 alignment</t>
        </is>
      </c>
      <c r="C11" s="18" t="n">
        <v>18</v>
      </c>
      <c r="D11" s="18" t="n">
        <v>10</v>
      </c>
      <c r="E11" s="18" t="n">
        <v>10</v>
      </c>
      <c r="F11" s="18">
        <f>C11+D11+E11</f>
        <v/>
      </c>
    </row>
    <row r="12">
      <c r="A12" s="4" t="inlineStr">
        <is>
          <t>Project Management</t>
        </is>
      </c>
      <c r="B12" s="5" t="inlineStr">
        <is>
          <t>BA, PM, Scrum Master — 18 months dedicated</t>
        </is>
      </c>
      <c r="C12" s="17" t="n">
        <v>45</v>
      </c>
      <c r="D12" s="17" t="n">
        <v>20</v>
      </c>
      <c r="E12" s="17" t="n">
        <v>15</v>
      </c>
      <c r="F12" s="17">
        <f>C12+D12+E12</f>
        <v/>
      </c>
    </row>
    <row r="13">
      <c r="A13" s="6" t="inlineStr">
        <is>
          <t>Contingency (10%)</t>
        </is>
      </c>
      <c r="B13" s="7" t="inlineStr">
        <is>
          <t>Risk buffer</t>
        </is>
      </c>
      <c r="C13" s="18" t="n">
        <v>39.3</v>
      </c>
      <c r="D13" s="18" t="n">
        <v>16.2</v>
      </c>
      <c r="E13" s="18" t="n">
        <v>13.5</v>
      </c>
      <c r="F13" s="18">
        <f>C13+D13+E13</f>
        <v/>
      </c>
    </row>
    <row r="14">
      <c r="A14" s="3" t="inlineStr">
        <is>
          <t>TOTAL COSTS</t>
        </is>
      </c>
      <c r="B14" s="3" t="inlineStr"/>
      <c r="C14" s="19">
        <f>SUM(C6:C13)</f>
        <v/>
      </c>
      <c r="D14" s="19">
        <f>SUM(D6:D13)</f>
        <v/>
      </c>
      <c r="E14" s="19">
        <f>SUM(E6:E13)</f>
        <v/>
      </c>
      <c r="F14" s="19">
        <f>SUM(F6:F13)</f>
        <v/>
      </c>
    </row>
    <row r="17">
      <c r="A17" s="20" t="inlineStr">
        <is>
          <t>📥  PROJECTED BENEFITS</t>
        </is>
      </c>
    </row>
    <row r="18">
      <c r="A18" s="21" t="inlineStr">
        <is>
          <t>Benefit Category</t>
        </is>
      </c>
      <c r="B18" s="21" t="inlineStr">
        <is>
          <t>Assumption / Driver</t>
        </is>
      </c>
      <c r="C18" s="21" t="inlineStr">
        <is>
          <t>FY2026 (¥M)</t>
        </is>
      </c>
      <c r="D18" s="21" t="inlineStr">
        <is>
          <t>FY2027 (¥M)</t>
        </is>
      </c>
      <c r="E18" s="21" t="inlineStr">
        <is>
          <t>FY2028 (¥M)</t>
        </is>
      </c>
      <c r="F18" s="21" t="inlineStr">
        <is>
          <t>3-Year Total (¥M)</t>
        </is>
      </c>
    </row>
    <row r="19">
      <c r="A19" s="4" t="inlineStr">
        <is>
          <t>Increased Basket Size</t>
        </is>
      </c>
      <c r="B19" s="5" t="inlineStr">
        <is>
          <t>+31% avg spend/visit × 1.2M app users/yr</t>
        </is>
      </c>
      <c r="C19" s="17" t="n">
        <v>320</v>
      </c>
      <c r="D19" s="17" t="n">
        <v>580</v>
      </c>
      <c r="E19" s="17" t="n">
        <v>780</v>
      </c>
      <c r="F19" s="17">
        <f>C19+D19+E19</f>
        <v/>
      </c>
    </row>
    <row r="20">
      <c r="A20" s="6" t="inlineStr">
        <is>
          <t>Reduced Customer Churn</t>
        </is>
      </c>
      <c r="B20" s="7" t="inlineStr">
        <is>
          <t>Retention 34% → 62%; lifetime value increase</t>
        </is>
      </c>
      <c r="C20" s="18" t="n">
        <v>210</v>
      </c>
      <c r="D20" s="18" t="n">
        <v>390</v>
      </c>
      <c r="E20" s="18" t="n">
        <v>520</v>
      </c>
      <c r="F20" s="18">
        <f>C20+D20+E20</f>
        <v/>
      </c>
    </row>
    <row r="21">
      <c r="A21" s="4" t="inlineStr">
        <is>
          <t>Food Waste Reduction</t>
        </is>
      </c>
      <c r="B21" s="5" t="inlineStr">
        <is>
          <t>AI demand forecast — ¥340M/yr waste → -30%</t>
        </is>
      </c>
      <c r="C21" s="17" t="n">
        <v>68</v>
      </c>
      <c r="D21" s="17" t="n">
        <v>102</v>
      </c>
      <c r="E21" s="17" t="n">
        <v>102</v>
      </c>
      <c r="F21" s="17">
        <f>C21+D21+E21</f>
        <v/>
      </c>
    </row>
    <row r="22">
      <c r="A22" s="6" t="inlineStr">
        <is>
          <t>Digital Mktg Efficiency</t>
        </is>
      </c>
      <c r="B22" s="7" t="inlineStr">
        <is>
          <t>Personalised campaigns: 3.8x ROI vs. print</t>
        </is>
      </c>
      <c r="C22" s="18" t="n">
        <v>45</v>
      </c>
      <c r="D22" s="18" t="n">
        <v>90</v>
      </c>
      <c r="E22" s="18" t="n">
        <v>120</v>
      </c>
      <c r="F22" s="18">
        <f>C22+D22+E22</f>
        <v/>
      </c>
    </row>
    <row r="23">
      <c r="A23" s="4" t="inlineStr">
        <is>
          <t>New Revenue: Premium Tier</t>
        </is>
      </c>
      <c r="B23" s="5" t="inlineStr">
        <is>
          <t>Platinum members pay ¥500/month subscription</t>
        </is>
      </c>
      <c r="C23" s="17" t="n">
        <v>0</v>
      </c>
      <c r="D23" s="17" t="n">
        <v>85</v>
      </c>
      <c r="E23" s="17" t="n">
        <v>210</v>
      </c>
      <c r="F23" s="17">
        <f>C23+D23+E23</f>
        <v/>
      </c>
    </row>
    <row r="24">
      <c r="A24" s="6" t="inlineStr">
        <is>
          <t>Data Monetisation</t>
        </is>
      </c>
      <c r="B24" s="7" t="inlineStr">
        <is>
          <t>Anonymised insights sold to FMCG partners</t>
        </is>
      </c>
      <c r="C24" s="18" t="n">
        <v>0</v>
      </c>
      <c r="D24" s="18" t="n">
        <v>30</v>
      </c>
      <c r="E24" s="18" t="n">
        <v>75</v>
      </c>
      <c r="F24" s="18">
        <f>C24+D24+E24</f>
        <v/>
      </c>
    </row>
    <row r="25">
      <c r="A25" s="4" t="inlineStr">
        <is>
          <t>Operational Savings</t>
        </is>
      </c>
      <c r="B25" s="5" t="inlineStr">
        <is>
          <t>Reduce cashier stamp time (45s/tx × 3M tx/yr)</t>
        </is>
      </c>
      <c r="C25" s="17" t="n">
        <v>38</v>
      </c>
      <c r="D25" s="17" t="n">
        <v>42</v>
      </c>
      <c r="E25" s="17" t="n">
        <v>45</v>
      </c>
      <c r="F25" s="17">
        <f>C25+D25+E25</f>
        <v/>
      </c>
    </row>
    <row r="26">
      <c r="A26" s="22" t="inlineStr">
        <is>
          <t>TOTAL BENEFITS</t>
        </is>
      </c>
      <c r="C26" s="22">
        <f>SUM(C19:C25)</f>
        <v/>
      </c>
      <c r="D26" s="22">
        <f>SUM(D19:D25)</f>
        <v/>
      </c>
      <c r="E26" s="22">
        <f>SUM(E19:E25)</f>
        <v/>
      </c>
      <c r="F26" s="22">
        <f>SUM(F19:F25)</f>
        <v/>
      </c>
    </row>
    <row r="28">
      <c r="A28" s="23" t="inlineStr">
        <is>
          <t>📊  ROI SUMMARY</t>
        </is>
      </c>
    </row>
    <row r="29">
      <c r="A29" s="24" t="inlineStr">
        <is>
          <t>Total 3-Year Costs (¥M)</t>
        </is>
      </c>
      <c r="B29" s="25">
        <f>F14</f>
        <v/>
      </c>
    </row>
    <row r="30">
      <c r="A30" s="24" t="inlineStr">
        <is>
          <t>Total 3-Year Benefits (¥M)</t>
        </is>
      </c>
      <c r="B30" s="25">
        <f>F26</f>
        <v/>
      </c>
    </row>
    <row r="31">
      <c r="A31" s="24" t="inlineStr">
        <is>
          <t>Net Benefit / ROI (¥M)</t>
        </is>
      </c>
      <c r="B31" s="25">
        <f>F26-F14</f>
        <v/>
      </c>
    </row>
    <row r="32">
      <c r="A32" s="24" t="inlineStr">
        <is>
          <t>ROI %</t>
        </is>
      </c>
      <c r="B32" s="26">
        <f>(F26-F14)/F14</f>
        <v/>
      </c>
    </row>
    <row r="33">
      <c r="A33" s="24" t="inlineStr">
        <is>
          <t>Estimated Payback Period</t>
        </is>
      </c>
      <c r="B33" s="10" t="inlineStr">
        <is>
          <t>22 months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7" t="inlineStr">
        <is>
          <t>🌸  SakuraMart Customer Survey Results — Digital Loyalty Readiness</t>
        </is>
      </c>
    </row>
    <row r="2">
      <c r="A2" s="15" t="inlineStr">
        <is>
          <t>Survey conducted across 2,400 SakuraMart customers (Dec 2025 – Jan 2026)  |  Margin of Error: ±2.1%</t>
        </is>
      </c>
    </row>
    <row r="4">
      <c r="A4" s="28" t="inlineStr">
        <is>
          <t>Q1: Have you lost a SakuraMart paper stamp card in the last year?</t>
        </is>
      </c>
    </row>
    <row r="5">
      <c r="A5" s="16" t="inlineStr">
        <is>
          <t>Response</t>
        </is>
      </c>
      <c r="B5" s="16" t="inlineStr">
        <is>
          <t>Respondents (n)</t>
        </is>
      </c>
      <c r="C5" s="16" t="inlineStr">
        <is>
          <t>Percentage</t>
        </is>
      </c>
    </row>
    <row r="6">
      <c r="A6" s="6" t="inlineStr">
        <is>
          <t>Yes — lost at least 1 card</t>
        </is>
      </c>
      <c r="B6" s="7" t="n">
        <v>1464</v>
      </c>
      <c r="C6" s="29">
        <f>C6/2400</f>
        <v/>
      </c>
    </row>
    <row r="7">
      <c r="A7" s="4" t="inlineStr">
        <is>
          <t>No — kept all cards</t>
        </is>
      </c>
      <c r="B7" s="5" t="n">
        <v>528</v>
      </c>
      <c r="C7" s="30">
        <f>C7/2400</f>
        <v/>
      </c>
    </row>
    <row r="8">
      <c r="A8" s="6" t="inlineStr">
        <is>
          <t>I don't use stamp cards</t>
        </is>
      </c>
      <c r="B8" s="7" t="n">
        <v>408</v>
      </c>
      <c r="C8" s="29">
        <f>C8/2400</f>
        <v/>
      </c>
    </row>
    <row r="9">
      <c r="A9" s="4" t="inlineStr">
        <is>
          <t>TOTAL</t>
        </is>
      </c>
      <c r="B9" s="5">
        <f>SUM(C6:C8)</f>
        <v/>
      </c>
      <c r="C9" s="30">
        <f>SUM(D6:D8)</f>
        <v/>
      </c>
    </row>
    <row r="11">
      <c r="A11" s="28" t="inlineStr">
        <is>
          <t>Q2: Would you prefer a digital loyalty app over paper stamp cards?</t>
        </is>
      </c>
    </row>
    <row r="12">
      <c r="A12" s="11" t="inlineStr">
        <is>
          <t>Response</t>
        </is>
      </c>
      <c r="B12" s="11" t="inlineStr">
        <is>
          <t>18-24 yrs</t>
        </is>
      </c>
      <c r="C12" s="11" t="inlineStr">
        <is>
          <t>25-34 yrs</t>
        </is>
      </c>
      <c r="D12" s="11" t="inlineStr">
        <is>
          <t>35-49 yrs</t>
        </is>
      </c>
      <c r="E12" s="11" t="inlineStr">
        <is>
          <t>50+ yrs</t>
        </is>
      </c>
      <c r="F12" s="11" t="inlineStr">
        <is>
          <t>Overall %</t>
        </is>
      </c>
    </row>
    <row r="13">
      <c r="A13" s="31" t="inlineStr">
        <is>
          <t>Strongly Prefer Digital</t>
        </is>
      </c>
      <c r="B13" s="7" t="n">
        <v>412</v>
      </c>
      <c r="C13" s="7" t="n">
        <v>524</v>
      </c>
      <c r="D13" s="7" t="n">
        <v>298</v>
      </c>
      <c r="E13" s="7" t="n">
        <v>112</v>
      </c>
      <c r="F13" s="29">
        <f>SUM(B13:E13)/2400</f>
        <v/>
      </c>
    </row>
    <row r="14">
      <c r="A14" s="32" t="inlineStr">
        <is>
          <t>Somewhat Prefer Digital</t>
        </is>
      </c>
      <c r="B14" s="5" t="n">
        <v>188</v>
      </c>
      <c r="C14" s="5" t="n">
        <v>234</v>
      </c>
      <c r="D14" s="5" t="n">
        <v>267</v>
      </c>
      <c r="E14" s="5" t="n">
        <v>198</v>
      </c>
      <c r="F14" s="30">
        <f>SUM(B14:E14)/2400</f>
        <v/>
      </c>
    </row>
    <row r="15">
      <c r="A15" s="31" t="inlineStr">
        <is>
          <t>No Preference</t>
        </is>
      </c>
      <c r="B15" s="7" t="n">
        <v>42</v>
      </c>
      <c r="C15" s="7" t="n">
        <v>68</v>
      </c>
      <c r="D15" s="7" t="n">
        <v>124</v>
      </c>
      <c r="E15" s="7" t="n">
        <v>232</v>
      </c>
      <c r="F15" s="29">
        <f>SUM(B15:E15)/2400</f>
        <v/>
      </c>
    </row>
    <row r="16">
      <c r="A16" s="32" t="inlineStr">
        <is>
          <t>Prefer Paper Cards</t>
        </is>
      </c>
      <c r="B16" s="5" t="n">
        <v>12</v>
      </c>
      <c r="C16" s="5" t="n">
        <v>22</v>
      </c>
      <c r="D16" s="5" t="n">
        <v>68</v>
      </c>
      <c r="E16" s="5" t="n">
        <v>198</v>
      </c>
      <c r="F16" s="30">
        <f>SUM(B16:E16)/2400</f>
        <v/>
      </c>
    </row>
    <row r="19">
      <c r="A19" s="28" t="inlineStr">
        <is>
          <t>Q3: Which payment methods do you currently use at convenience stores?</t>
        </is>
      </c>
    </row>
    <row r="20">
      <c r="A20" s="33" t="inlineStr">
        <is>
          <t>Payment Method</t>
        </is>
      </c>
      <c r="B20" s="33" t="inlineStr">
        <is>
          <t>Respondents</t>
        </is>
      </c>
      <c r="C20" s="33" t="inlineStr">
        <is>
          <t>% of Total</t>
        </is>
      </c>
    </row>
    <row r="21">
      <c r="A21" s="6" t="inlineStr">
        <is>
          <t>Cash (現金)</t>
        </is>
      </c>
      <c r="B21" s="7" t="n">
        <v>1248</v>
      </c>
      <c r="C21" s="29">
        <f>C21/2400</f>
        <v/>
      </c>
    </row>
    <row r="22">
      <c r="A22" s="4" t="inlineStr">
        <is>
          <t>Credit/Debit Card</t>
        </is>
      </c>
      <c r="B22" s="5" t="n">
        <v>864</v>
      </c>
      <c r="C22" s="30">
        <f>C22/2400</f>
        <v/>
      </c>
    </row>
    <row r="23">
      <c r="A23" s="6" t="inlineStr">
        <is>
          <t>PayPay (QR)</t>
        </is>
      </c>
      <c r="B23" s="7" t="n">
        <v>456</v>
      </c>
      <c r="C23" s="29">
        <f>C23/2400</f>
        <v/>
      </c>
    </row>
    <row r="24">
      <c r="A24" s="4" t="inlineStr">
        <is>
          <t>LINE Pay (QR)</t>
        </is>
      </c>
      <c r="B24" s="5" t="n">
        <v>312</v>
      </c>
      <c r="C24" s="30">
        <f>C24/2400</f>
        <v/>
      </c>
    </row>
    <row r="25">
      <c r="A25" s="6" t="inlineStr">
        <is>
          <t>IC Card (Suica/Pasmo)</t>
        </is>
      </c>
      <c r="B25" s="7" t="n">
        <v>1104</v>
      </c>
      <c r="C25" s="29">
        <f>C25/2400</f>
        <v/>
      </c>
    </row>
    <row r="26">
      <c r="A26" s="4" t="inlineStr">
        <is>
          <t>SakuraMart App (none yet)</t>
        </is>
      </c>
      <c r="B26" s="5" t="n">
        <v>0</v>
      </c>
      <c r="C26" s="30">
        <f>C26/2400</f>
        <v/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40" customWidth="1" min="4" max="4"/>
    <col width="10" customWidth="1" min="5" max="5"/>
    <col width="12" customWidth="1" min="6" max="6"/>
    <col width="12" customWidth="1" min="7" max="7"/>
    <col width="13" customWidth="1" min="8" max="8"/>
    <col width="18" customWidth="1" min="9" max="9"/>
  </cols>
  <sheetData>
    <row r="1" ht="30" customHeight="1">
      <c r="A1" s="27" t="inlineStr">
        <is>
          <t>🌸  SakuraMart DLP — JIRA Product Backlog  |  Project: SMC-DLP-2026</t>
        </is>
      </c>
    </row>
    <row r="2">
      <c r="A2" s="3" t="inlineStr">
        <is>
          <t>Ticket ID</t>
        </is>
      </c>
      <c r="B2" s="3" t="inlineStr">
        <is>
          <t>Epic</t>
        </is>
      </c>
      <c r="C2" s="3" t="inlineStr">
        <is>
          <t>Type</t>
        </is>
      </c>
      <c r="D2" s="3" t="inlineStr">
        <is>
          <t>Title / User Story</t>
        </is>
      </c>
      <c r="E2" s="3" t="inlineStr">
        <is>
          <t>Priority</t>
        </is>
      </c>
      <c r="F2" s="3" t="inlineStr">
        <is>
          <t>Story Points</t>
        </is>
      </c>
      <c r="G2" s="3" t="inlineStr">
        <is>
          <t>Sprint</t>
        </is>
      </c>
      <c r="H2" s="3" t="inlineStr">
        <is>
          <t>Status</t>
        </is>
      </c>
      <c r="I2" s="3" t="inlineStr">
        <is>
          <t>Assignee</t>
        </is>
      </c>
    </row>
    <row r="3">
      <c r="A3" s="34" t="inlineStr">
        <is>
          <t>SMC-001</t>
        </is>
      </c>
      <c r="B3" s="34" t="inlineStr">
        <is>
          <t>EPIC-1: Auth</t>
        </is>
      </c>
      <c r="C3" s="34" t="inlineStr">
        <is>
          <t>Story</t>
        </is>
      </c>
      <c r="D3" s="35" t="inlineStr">
        <is>
          <t>User registration via mobile OTP</t>
        </is>
      </c>
      <c r="E3" s="36" t="inlineStr">
        <is>
          <t>Must</t>
        </is>
      </c>
      <c r="F3" s="34" t="n">
        <v>3</v>
      </c>
      <c r="G3" s="34" t="inlineStr">
        <is>
          <t>Sprint 1</t>
        </is>
      </c>
      <c r="H3" s="37" t="inlineStr">
        <is>
          <t>Done</t>
        </is>
      </c>
      <c r="I3" s="34" t="inlineStr">
        <is>
          <t>Dev: Tanaka K.</t>
        </is>
      </c>
    </row>
    <row r="4">
      <c r="A4" s="34" t="inlineStr">
        <is>
          <t>SMC-002</t>
        </is>
      </c>
      <c r="B4" s="34" t="inlineStr">
        <is>
          <t>EPIC-1: Auth</t>
        </is>
      </c>
      <c r="C4" s="34" t="inlineStr">
        <is>
          <t>Story</t>
        </is>
      </c>
      <c r="D4" s="35" t="inlineStr">
        <is>
          <t>OTP login with 6-digit code</t>
        </is>
      </c>
      <c r="E4" s="36" t="inlineStr">
        <is>
          <t>Must</t>
        </is>
      </c>
      <c r="F4" s="34" t="n">
        <v>3</v>
      </c>
      <c r="G4" s="34" t="inlineStr">
        <is>
          <t>Sprint 1</t>
        </is>
      </c>
      <c r="H4" s="37" t="inlineStr">
        <is>
          <t>Done</t>
        </is>
      </c>
      <c r="I4" s="34" t="inlineStr">
        <is>
          <t>Dev: Tanaka K.</t>
        </is>
      </c>
    </row>
    <row r="5">
      <c r="A5" s="34" t="inlineStr">
        <is>
          <t>SMC-003</t>
        </is>
      </c>
      <c r="B5" s="34" t="inlineStr">
        <is>
          <t>EPIC-1: Auth</t>
        </is>
      </c>
      <c r="C5" s="34" t="inlineStr">
        <is>
          <t>Story</t>
        </is>
      </c>
      <c r="D5" s="35" t="inlineStr">
        <is>
          <t>Profile setup (name, photo)</t>
        </is>
      </c>
      <c r="E5" s="37" t="inlineStr">
        <is>
          <t>Should</t>
        </is>
      </c>
      <c r="F5" s="34" t="n">
        <v>2</v>
      </c>
      <c r="G5" s="34" t="inlineStr">
        <is>
          <t>Sprint 2</t>
        </is>
      </c>
      <c r="H5" s="38" t="inlineStr">
        <is>
          <t>In Progress</t>
        </is>
      </c>
      <c r="I5" s="34" t="inlineStr">
        <is>
          <t>Dev: Sato R.</t>
        </is>
      </c>
    </row>
    <row r="6">
      <c r="A6" s="34" t="inlineStr">
        <is>
          <t>SMC-004</t>
        </is>
      </c>
      <c r="B6" s="34" t="inlineStr">
        <is>
          <t>EPIC-1: Auth</t>
        </is>
      </c>
      <c r="C6" s="34" t="inlineStr">
        <is>
          <t>Story</t>
        </is>
      </c>
      <c r="D6" s="35" t="inlineStr">
        <is>
          <t>Paper stamp card migration during onboarding</t>
        </is>
      </c>
      <c r="E6" s="36" t="inlineStr">
        <is>
          <t>Must</t>
        </is>
      </c>
      <c r="F6" s="34" t="n">
        <v>5</v>
      </c>
      <c r="G6" s="34" t="inlineStr">
        <is>
          <t>Sprint 6</t>
        </is>
      </c>
      <c r="H6" s="39" t="inlineStr">
        <is>
          <t>To Do</t>
        </is>
      </c>
      <c r="I6" s="34" t="inlineStr">
        <is>
          <t>Dev: Yamada T.</t>
        </is>
      </c>
    </row>
    <row r="7">
      <c r="A7" s="34" t="inlineStr">
        <is>
          <t>SMC-005</t>
        </is>
      </c>
      <c r="B7" s="34" t="inlineStr">
        <is>
          <t>EPIC-2: Loyalty</t>
        </is>
      </c>
      <c r="C7" s="34" t="inlineStr">
        <is>
          <t>Story</t>
        </is>
      </c>
      <c r="D7" s="35" t="inlineStr">
        <is>
          <t>View points balance on home screen</t>
        </is>
      </c>
      <c r="E7" s="36" t="inlineStr">
        <is>
          <t>Must</t>
        </is>
      </c>
      <c r="F7" s="34" t="n">
        <v>2</v>
      </c>
      <c r="G7" s="34" t="inlineStr">
        <is>
          <t>Sprint 2</t>
        </is>
      </c>
      <c r="H7" s="37" t="inlineStr">
        <is>
          <t>Done</t>
        </is>
      </c>
      <c r="I7" s="34" t="inlineStr">
        <is>
          <t>Dev: Sato R.</t>
        </is>
      </c>
    </row>
    <row r="8">
      <c r="A8" s="34" t="inlineStr">
        <is>
          <t>SMC-006</t>
        </is>
      </c>
      <c r="B8" s="34" t="inlineStr">
        <is>
          <t>EPIC-2: Loyalty</t>
        </is>
      </c>
      <c r="C8" s="34" t="inlineStr">
        <is>
          <t>Story</t>
        </is>
      </c>
      <c r="D8" s="35" t="inlineStr">
        <is>
          <t>Auto-award points on QR scan</t>
        </is>
      </c>
      <c r="E8" s="36" t="inlineStr">
        <is>
          <t>Must</t>
        </is>
      </c>
      <c r="F8" s="34" t="n">
        <v>8</v>
      </c>
      <c r="G8" s="34" t="inlineStr">
        <is>
          <t>Sprint 3</t>
        </is>
      </c>
      <c r="H8" s="38" t="inlineStr">
        <is>
          <t>In Progress</t>
        </is>
      </c>
      <c r="I8" s="34" t="inlineStr">
        <is>
          <t>Dev: Ito M.</t>
        </is>
      </c>
    </row>
    <row r="9">
      <c r="A9" s="34" t="inlineStr">
        <is>
          <t>SMC-007</t>
        </is>
      </c>
      <c r="B9" s="34" t="inlineStr">
        <is>
          <t>EPIC-2: Loyalty</t>
        </is>
      </c>
      <c r="C9" s="34" t="inlineStr">
        <is>
          <t>Story</t>
        </is>
      </c>
      <c r="D9" s="35" t="inlineStr">
        <is>
          <t>Redeem points at checkout (100pts = ¥50)</t>
        </is>
      </c>
      <c r="E9" s="36" t="inlineStr">
        <is>
          <t>Must</t>
        </is>
      </c>
      <c r="F9" s="34" t="n">
        <v>8</v>
      </c>
      <c r="G9" s="34" t="inlineStr">
        <is>
          <t>Sprint 3</t>
        </is>
      </c>
      <c r="H9" s="38" t="inlineStr">
        <is>
          <t>In Progress</t>
        </is>
      </c>
      <c r="I9" s="34" t="inlineStr">
        <is>
          <t>Dev: Ito M.</t>
        </is>
      </c>
    </row>
    <row r="10">
      <c r="A10" s="34" t="inlineStr">
        <is>
          <t>SMC-008</t>
        </is>
      </c>
      <c r="B10" s="34" t="inlineStr">
        <is>
          <t>EPIC-2: Loyalty</t>
        </is>
      </c>
      <c r="C10" s="34" t="inlineStr">
        <is>
          <t>Story</t>
        </is>
      </c>
      <c r="D10" s="35" t="inlineStr">
        <is>
          <t>Display loyalty tier (Sakura/Gold/Platinum)</t>
        </is>
      </c>
      <c r="E10" s="37" t="inlineStr">
        <is>
          <t>Should</t>
        </is>
      </c>
      <c r="F10" s="34" t="n">
        <v>3</v>
      </c>
      <c r="G10" s="34" t="inlineStr">
        <is>
          <t>Sprint 5</t>
        </is>
      </c>
      <c r="H10" s="39" t="inlineStr">
        <is>
          <t>To Do</t>
        </is>
      </c>
      <c r="I10" s="34" t="inlineStr">
        <is>
          <t>Dev: Nakamura Y.</t>
        </is>
      </c>
    </row>
    <row r="11">
      <c r="A11" s="34" t="inlineStr">
        <is>
          <t>SMC-009</t>
        </is>
      </c>
      <c r="B11" s="34" t="inlineStr">
        <is>
          <t>EPIC-2: Loyalty</t>
        </is>
      </c>
      <c r="C11" s="34" t="inlineStr">
        <is>
          <t>Story</t>
        </is>
      </c>
      <c r="D11" s="35" t="inlineStr">
        <is>
          <t>Gold tier 5% points bonus logic</t>
        </is>
      </c>
      <c r="E11" s="37" t="inlineStr">
        <is>
          <t>Should</t>
        </is>
      </c>
      <c r="F11" s="34" t="n">
        <v>5</v>
      </c>
      <c r="G11" s="34" t="inlineStr">
        <is>
          <t>Sprint 5</t>
        </is>
      </c>
      <c r="H11" s="39" t="inlineStr">
        <is>
          <t>To Do</t>
        </is>
      </c>
      <c r="I11" s="34" t="inlineStr">
        <is>
          <t>Dev: Nakamura Y.</t>
        </is>
      </c>
    </row>
    <row r="12">
      <c r="A12" s="34" t="inlineStr">
        <is>
          <t>SMC-010</t>
        </is>
      </c>
      <c r="B12" s="34" t="inlineStr">
        <is>
          <t>EPIC-3: Payment</t>
        </is>
      </c>
      <c r="C12" s="34" t="inlineStr">
        <is>
          <t>Story</t>
        </is>
      </c>
      <c r="D12" s="35" t="inlineStr">
        <is>
          <t>QR code payment (PayPay/LINE Pay)</t>
        </is>
      </c>
      <c r="E12" s="36" t="inlineStr">
        <is>
          <t>Must</t>
        </is>
      </c>
      <c r="F12" s="34" t="n">
        <v>13</v>
      </c>
      <c r="G12" s="34" t="inlineStr">
        <is>
          <t>Sprint 4</t>
        </is>
      </c>
      <c r="H12" s="38" t="inlineStr">
        <is>
          <t>In Progress</t>
        </is>
      </c>
      <c r="I12" s="34" t="inlineStr">
        <is>
          <t>Dev: Kobayashi S.</t>
        </is>
      </c>
    </row>
    <row r="13">
      <c r="A13" s="34" t="inlineStr">
        <is>
          <t>SMC-011</t>
        </is>
      </c>
      <c r="B13" s="34" t="inlineStr">
        <is>
          <t>EPIC-3: Payment</t>
        </is>
      </c>
      <c r="C13" s="34" t="inlineStr">
        <is>
          <t>Story</t>
        </is>
      </c>
      <c r="D13" s="35" t="inlineStr">
        <is>
          <t>Payment confirmation screen &lt;3s</t>
        </is>
      </c>
      <c r="E13" s="36" t="inlineStr">
        <is>
          <t>Must</t>
        </is>
      </c>
      <c r="F13" s="34" t="n">
        <v>5</v>
      </c>
      <c r="G13" s="34" t="inlineStr">
        <is>
          <t>Sprint 4</t>
        </is>
      </c>
      <c r="H13" s="39" t="inlineStr">
        <is>
          <t>To Do</t>
        </is>
      </c>
      <c r="I13" s="34" t="inlineStr">
        <is>
          <t>Dev: Kobayashi S.</t>
        </is>
      </c>
    </row>
    <row r="14">
      <c r="A14" s="34" t="inlineStr">
        <is>
          <t>SMC-012</t>
        </is>
      </c>
      <c r="B14" s="34" t="inlineStr">
        <is>
          <t>EPIC-3: Payment</t>
        </is>
      </c>
      <c r="C14" s="34" t="inlineStr">
        <is>
          <t>Story</t>
        </is>
      </c>
      <c r="D14" s="35" t="inlineStr">
        <is>
          <t>View 20 most recent transactions</t>
        </is>
      </c>
      <c r="E14" s="36" t="inlineStr">
        <is>
          <t>Must</t>
        </is>
      </c>
      <c r="F14" s="34" t="n">
        <v>3</v>
      </c>
      <c r="G14" s="34" t="inlineStr">
        <is>
          <t>Sprint 2</t>
        </is>
      </c>
      <c r="H14" s="39" t="inlineStr">
        <is>
          <t>To Do</t>
        </is>
      </c>
      <c r="I14" s="34" t="inlineStr">
        <is>
          <t>Dev: Sato R.</t>
        </is>
      </c>
    </row>
    <row r="15">
      <c r="A15" s="34" t="inlineStr">
        <is>
          <t>SMC-013</t>
        </is>
      </c>
      <c r="B15" s="34" t="inlineStr">
        <is>
          <t>EPIC-4: AI</t>
        </is>
      </c>
      <c r="C15" s="34" t="inlineStr">
        <is>
          <t>Story</t>
        </is>
      </c>
      <c r="D15" s="35" t="inlineStr">
        <is>
          <t>AI product recommendations (3/visit)</t>
        </is>
      </c>
      <c r="E15" s="37" t="inlineStr">
        <is>
          <t>Should</t>
        </is>
      </c>
      <c r="F15" s="34" t="n">
        <v>13</v>
      </c>
      <c r="G15" s="34" t="inlineStr">
        <is>
          <t>Sprint 7</t>
        </is>
      </c>
      <c r="H15" s="39" t="inlineStr">
        <is>
          <t>To Do</t>
        </is>
      </c>
      <c r="I15" s="34" t="inlineStr">
        <is>
          <t>Dev: AI Team</t>
        </is>
      </c>
    </row>
    <row r="16">
      <c r="A16" s="34" t="inlineStr">
        <is>
          <t>SMC-014</t>
        </is>
      </c>
      <c r="B16" s="34" t="inlineStr">
        <is>
          <t>EPIC-4: AI</t>
        </is>
      </c>
      <c r="C16" s="34" t="inlineStr">
        <is>
          <t>Story</t>
        </is>
      </c>
      <c r="D16" s="35" t="inlineStr">
        <is>
          <t>Location-based push notification</t>
        </is>
      </c>
      <c r="E16" s="37" t="inlineStr">
        <is>
          <t>Should</t>
        </is>
      </c>
      <c r="F16" s="34" t="n">
        <v>8</v>
      </c>
      <c r="G16" s="34" t="inlineStr">
        <is>
          <t>Sprint 7</t>
        </is>
      </c>
      <c r="H16" s="39" t="inlineStr">
        <is>
          <t>To Do</t>
        </is>
      </c>
      <c r="I16" s="34" t="inlineStr">
        <is>
          <t>Dev: AI Team</t>
        </is>
      </c>
    </row>
    <row r="17">
      <c r="A17" s="34" t="inlineStr">
        <is>
          <t>SMC-015</t>
        </is>
      </c>
      <c r="B17" s="34" t="inlineStr">
        <is>
          <t>EPIC-5: Dashboard</t>
        </is>
      </c>
      <c r="C17" s="34" t="inlineStr">
        <is>
          <t>Story</t>
        </is>
      </c>
      <c r="D17" s="35" t="inlineStr">
        <is>
          <t>Store manager daily sales dashboard</t>
        </is>
      </c>
      <c r="E17" s="37" t="inlineStr">
        <is>
          <t>Should</t>
        </is>
      </c>
      <c r="F17" s="34" t="n">
        <v>8</v>
      </c>
      <c r="G17" s="34" t="inlineStr">
        <is>
          <t>Sprint 7</t>
        </is>
      </c>
      <c r="H17" s="39" t="inlineStr">
        <is>
          <t>To Do</t>
        </is>
      </c>
      <c r="I17" s="34" t="inlineStr">
        <is>
          <t>Dev: Suzuki H.</t>
        </is>
      </c>
    </row>
    <row r="18">
      <c r="A18" s="34" t="inlineStr">
        <is>
          <t>SMC-016</t>
        </is>
      </c>
      <c r="B18" s="34" t="inlineStr">
        <is>
          <t>EPIC-5: Dashboard</t>
        </is>
      </c>
      <c r="C18" s="34" t="inlineStr">
        <is>
          <t>Story</t>
        </is>
      </c>
      <c r="D18" s="35" t="inlineStr">
        <is>
          <t>Top 10 fastest-selling SKUs view</t>
        </is>
      </c>
      <c r="E18" s="37" t="inlineStr">
        <is>
          <t>Should</t>
        </is>
      </c>
      <c r="F18" s="34" t="n">
        <v>5</v>
      </c>
      <c r="G18" s="34" t="inlineStr">
        <is>
          <t>Sprint 7</t>
        </is>
      </c>
      <c r="H18" s="39" t="inlineStr">
        <is>
          <t>To Do</t>
        </is>
      </c>
      <c r="I18" s="34" t="inlineStr">
        <is>
          <t>Dev: Suzuki H.</t>
        </is>
      </c>
    </row>
    <row r="19">
      <c r="A19" s="34" t="inlineStr">
        <is>
          <t>SMC-017</t>
        </is>
      </c>
      <c r="B19" s="34" t="inlineStr">
        <is>
          <t>EPIC-1: Auth</t>
        </is>
      </c>
      <c r="C19" s="34" t="inlineStr">
        <is>
          <t>Bug</t>
        </is>
      </c>
      <c r="D19" s="35" t="inlineStr">
        <is>
          <t>OTP SMS not delivering to SoftBank numbers</t>
        </is>
      </c>
      <c r="E19" s="36" t="inlineStr">
        <is>
          <t>Must</t>
        </is>
      </c>
      <c r="F19" s="34" t="n">
        <v>2</v>
      </c>
      <c r="G19" s="34" t="inlineStr">
        <is>
          <t>Sprint 1</t>
        </is>
      </c>
      <c r="H19" s="37" t="inlineStr">
        <is>
          <t>Done</t>
        </is>
      </c>
      <c r="I19" s="34" t="inlineStr">
        <is>
          <t>Dev: Tanaka K.</t>
        </is>
      </c>
    </row>
    <row r="20">
      <c r="A20" s="34" t="inlineStr">
        <is>
          <t>SMC-018</t>
        </is>
      </c>
      <c r="B20" s="34" t="inlineStr">
        <is>
          <t>EPIC-3: Payment</t>
        </is>
      </c>
      <c r="C20" s="34" t="inlineStr">
        <is>
          <t>Bug</t>
        </is>
      </c>
      <c r="D20" s="35" t="inlineStr">
        <is>
          <t>QR code flicker on iOS 16 dark mode</t>
        </is>
      </c>
      <c r="E20" s="37" t="inlineStr">
        <is>
          <t>Should</t>
        </is>
      </c>
      <c r="F20" s="34" t="n">
        <v>1</v>
      </c>
      <c r="G20" s="34" t="inlineStr">
        <is>
          <t>Sprint 4</t>
        </is>
      </c>
      <c r="H20" s="38" t="inlineStr">
        <is>
          <t>In Progress</t>
        </is>
      </c>
      <c r="I20" s="34" t="inlineStr">
        <is>
          <t>Dev: Kobayashi S.</t>
        </is>
      </c>
    </row>
    <row r="21">
      <c r="A21" s="34" t="inlineStr">
        <is>
          <t>SMC-019</t>
        </is>
      </c>
      <c r="B21" s="34" t="inlineStr">
        <is>
          <t>EPIC-2: Loyalty</t>
        </is>
      </c>
      <c r="C21" s="34" t="inlineStr">
        <is>
          <t>Task</t>
        </is>
      </c>
      <c r="D21" s="35" t="inlineStr">
        <is>
          <t>Write APPI-compliant data privacy policy (JP)</t>
        </is>
      </c>
      <c r="E21" s="36" t="inlineStr">
        <is>
          <t>Must</t>
        </is>
      </c>
      <c r="F21" s="34" t="n">
        <v>3</v>
      </c>
      <c r="G21" s="34" t="inlineStr">
        <is>
          <t>Sprint 2</t>
        </is>
      </c>
      <c r="H21" s="38" t="inlineStr">
        <is>
          <t>In Progress</t>
        </is>
      </c>
      <c r="I21" s="34" t="inlineStr">
        <is>
          <t>BA: Priya S.</t>
        </is>
      </c>
    </row>
    <row r="22">
      <c r="A22" s="34" t="inlineStr">
        <is>
          <t>SMC-020</t>
        </is>
      </c>
      <c r="B22" s="34" t="inlineStr">
        <is>
          <t>EPIC-5: Dashboard</t>
        </is>
      </c>
      <c r="C22" s="34" t="inlineStr">
        <is>
          <t>Task</t>
        </is>
      </c>
      <c r="D22" s="35" t="inlineStr">
        <is>
          <t>UAT script for store manager dashboard</t>
        </is>
      </c>
      <c r="E22" s="37" t="inlineStr">
        <is>
          <t>Should</t>
        </is>
      </c>
      <c r="F22" s="34" t="n">
        <v>2</v>
      </c>
      <c r="G22" s="34" t="inlineStr">
        <is>
          <t>Sprint 7</t>
        </is>
      </c>
      <c r="H22" s="39" t="inlineStr">
        <is>
          <t>To Do</t>
        </is>
      </c>
      <c r="I22" s="34" t="inlineStr">
        <is>
          <t>BA: Priya S.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27" t="inlineStr">
        <is>
          <t>🌸  SakuraMart DLP — MoSCoW Requirements Prioritisation Dashboard</t>
        </is>
      </c>
    </row>
    <row r="3" ht="28" customHeight="1">
      <c r="A3" s="40" t="inlineStr">
        <is>
          <t>MUST Have</t>
        </is>
      </c>
      <c r="B3" s="41" t="n"/>
      <c r="C3" s="42" t="n">
        <v>8</v>
      </c>
      <c r="D3" s="43" t="inlineStr">
        <is>
          <t>Non-negotiable for launch — builds core value</t>
        </is>
      </c>
    </row>
    <row r="4" ht="8" customHeight="1">
      <c r="A4" s="44" t="n"/>
      <c r="B4" s="44" t="n"/>
      <c r="C4" s="44" t="n"/>
      <c r="D4" s="44" t="n"/>
    </row>
    <row r="6" ht="28" customHeight="1">
      <c r="A6" s="45" t="inlineStr">
        <is>
          <t>SHOULD Have</t>
        </is>
      </c>
      <c r="B6" s="41" t="n"/>
      <c r="C6" s="46" t="n">
        <v>5</v>
      </c>
      <c r="D6" s="43" t="inlineStr">
        <is>
          <t>Important — deliver in Release 1.5 if possible</t>
        </is>
      </c>
    </row>
    <row r="7" ht="8" customHeight="1">
      <c r="A7" s="47" t="n"/>
      <c r="B7" s="47" t="n"/>
      <c r="C7" s="47" t="n"/>
      <c r="D7" s="47" t="n"/>
    </row>
    <row r="9" ht="28" customHeight="1">
      <c r="A9" s="48" t="inlineStr">
        <is>
          <t>COULD Have</t>
        </is>
      </c>
      <c r="B9" s="41" t="n"/>
      <c r="C9" s="49" t="n">
        <v>4</v>
      </c>
      <c r="D9" s="43" t="inlineStr">
        <is>
          <t>Nice-to-have — defer to Release 2.0</t>
        </is>
      </c>
    </row>
    <row r="10" ht="8" customHeight="1">
      <c r="A10" s="50" t="n"/>
      <c r="B10" s="50" t="n"/>
      <c r="C10" s="50" t="n"/>
      <c r="D10" s="50" t="n"/>
    </row>
    <row r="12" ht="28" customHeight="1">
      <c r="A12" s="51" t="inlineStr">
        <is>
          <t>WON'T Have</t>
        </is>
      </c>
      <c r="B12" s="41" t="n"/>
      <c r="C12" s="52" t="n">
        <v>4</v>
      </c>
      <c r="D12" s="43" t="inlineStr">
        <is>
          <t>Explicitly excluded from this release</t>
        </is>
      </c>
    </row>
    <row r="13" ht="8" customHeight="1">
      <c r="A13" s="53" t="n"/>
      <c r="B13" s="53" t="n"/>
      <c r="C13" s="53" t="n"/>
      <c r="D13" s="53" t="n"/>
    </row>
    <row r="18">
      <c r="A18" s="28" t="inlineStr">
        <is>
          <t>Sprint Velocity Plan</t>
        </is>
      </c>
    </row>
    <row r="19">
      <c r="A19" s="11" t="inlineStr">
        <is>
          <t>Sprint</t>
        </is>
      </c>
      <c r="B19" s="11" t="inlineStr">
        <is>
          <t>Planned Points</t>
        </is>
      </c>
      <c r="C19" s="11" t="inlineStr">
        <is>
          <t>Capacity</t>
        </is>
      </c>
    </row>
    <row r="20">
      <c r="A20" s="6" t="inlineStr">
        <is>
          <t>Sprint 1</t>
        </is>
      </c>
      <c r="B20" s="7" t="n">
        <v>11</v>
      </c>
      <c r="C20" s="7" t="n">
        <v>40</v>
      </c>
    </row>
    <row r="21">
      <c r="A21" s="4" t="inlineStr">
        <is>
          <t>Sprint 2</t>
        </is>
      </c>
      <c r="B21" s="5" t="n">
        <v>7</v>
      </c>
      <c r="C21" s="5" t="n">
        <v>40</v>
      </c>
    </row>
    <row r="22">
      <c r="A22" s="6" t="inlineStr">
        <is>
          <t>Sprint 3</t>
        </is>
      </c>
      <c r="B22" s="7" t="n">
        <v>16</v>
      </c>
      <c r="C22" s="7" t="n">
        <v>40</v>
      </c>
    </row>
    <row r="23">
      <c r="A23" s="4" t="inlineStr">
        <is>
          <t>Sprint 4</t>
        </is>
      </c>
      <c r="B23" s="5" t="n">
        <v>18</v>
      </c>
      <c r="C23" s="5" t="n">
        <v>40</v>
      </c>
    </row>
    <row r="24">
      <c r="A24" s="6" t="inlineStr">
        <is>
          <t>Sprint 5</t>
        </is>
      </c>
      <c r="B24" s="7" t="n">
        <v>8</v>
      </c>
      <c r="C24" s="7" t="n">
        <v>40</v>
      </c>
    </row>
    <row r="25">
      <c r="A25" s="4" t="inlineStr">
        <is>
          <t>Sprint 6</t>
        </is>
      </c>
      <c r="B25" s="5" t="n">
        <v>5</v>
      </c>
      <c r="C25" s="5" t="n">
        <v>40</v>
      </c>
    </row>
    <row r="26">
      <c r="A26" s="6" t="inlineStr">
        <is>
          <t>Sprint 7</t>
        </is>
      </c>
      <c r="B26" s="7" t="n">
        <v>40</v>
      </c>
      <c r="C26" s="7" t="n">
        <v>40</v>
      </c>
    </row>
  </sheetData>
  <mergeCells count="13">
    <mergeCell ref="C9:C10"/>
    <mergeCell ref="A12:B13"/>
    <mergeCell ref="A1:G1"/>
    <mergeCell ref="D9:G10"/>
    <mergeCell ref="C3:C4"/>
    <mergeCell ref="C12:C13"/>
    <mergeCell ref="A6:B7"/>
    <mergeCell ref="D3:G4"/>
    <mergeCell ref="C6:C7"/>
    <mergeCell ref="D12:G13"/>
    <mergeCell ref="A9:B10"/>
    <mergeCell ref="D6:G7"/>
    <mergeCell ref="A3:B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2026-02-25T07:39:59Z</dcterms:created>
  <dcterms:modified xmlns:dcterms="http://purl.org/dc/terms/" xmlns:xsi="http://www.w3.org/2001/XMLSchema-instance" xsi:type="dcterms:W3CDTF">2026-02-25T07:39:59Z</dcterms:modified>
</cp:coreProperties>
</file>